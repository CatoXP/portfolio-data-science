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<sst xmlns="http://schemas.openxmlformats.org/spreadsheetml/2006/main" count="131" uniqueCount="81">
  <si>
    <t>EJERCICIO</t>
  </si>
  <si>
    <t>MEDIANTE EL METODO DE REGRESIÓN LINEAL SIMPLE, CALCULAR EL VALOR SOLICITADO MEDIANTE MÍNIMOS CUADRADOS</t>
  </si>
  <si>
    <t>LA EMPRESA LA TRAMPOSA SA DE CV, DESEA CONSIDERAR EL COSTO DE PRODUCIR EN EL MES DE JULIO 725 UNIDADES, PARA ELLO SE CUENTA CON LA SIGUIENTE INFORMACIÓN:</t>
  </si>
  <si>
    <t>MES</t>
  </si>
  <si>
    <t>UNIDADES</t>
  </si>
  <si>
    <t>COSTO</t>
  </si>
  <si>
    <t>Xi</t>
  </si>
  <si>
    <t>Yi</t>
  </si>
  <si>
    <t>(Xi*Yi)</t>
  </si>
  <si>
    <r>
      <rPr>
        <rFont val="Aptos Narrow"/>
        <b/>
        <color theme="1"/>
        <sz val="11.0"/>
      </rPr>
      <t>Xi</t>
    </r>
    <r>
      <rPr>
        <rFont val="Aptos Narrow"/>
        <b/>
        <color theme="1"/>
        <sz val="11.0"/>
        <vertAlign val="superscript"/>
      </rPr>
      <t>2</t>
    </r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</si>
  <si>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Xi*Yi     -</t>
    </r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</si>
  <si>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Xi*∑Yi</t>
    </r>
  </si>
  <si>
    <t>ENERO</t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</si>
  <si>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Xi</t>
    </r>
    <r>
      <rPr>
        <rFont val="Aptos Narrow"/>
        <b/>
        <color theme="1"/>
        <sz val="11.0"/>
      </rPr>
      <t>=</t>
    </r>
  </si>
  <si>
    <t>m=</t>
  </si>
  <si>
    <t>n</t>
  </si>
  <si>
    <t>=</t>
  </si>
  <si>
    <t>4,108,000-(3,715*6,510)/6</t>
  </si>
  <si>
    <t>FEBRERO</t>
  </si>
  <si>
    <t>∑Yi=</t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</si>
  <si>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Xi</t>
    </r>
    <r>
      <rPr>
        <rFont val="Aptos Narrow"/>
        <b/>
        <color theme="1"/>
        <sz val="14.0"/>
        <vertAlign val="superscript"/>
      </rPr>
      <t xml:space="preserve">2 </t>
    </r>
    <r>
      <rPr>
        <rFont val="Aptos Narrow"/>
        <b/>
        <color theme="1"/>
        <sz val="14.0"/>
      </rPr>
      <t xml:space="preserve">     -</t>
    </r>
  </si>
  <si>
    <r>
      <rPr>
        <rFont val="Aptos Narrow"/>
        <b/>
        <color theme="1"/>
        <sz val="11.0"/>
      </rPr>
      <t>(</t>
    </r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Xi)</t>
    </r>
    <r>
      <rPr>
        <rFont val="Aptos Narrow"/>
        <b/>
        <color theme="1"/>
        <sz val="14.0"/>
        <vertAlign val="superscript"/>
      </rPr>
      <t>2</t>
    </r>
  </si>
  <si>
    <t>2,367,125 - (3,715)^2/6</t>
  </si>
  <si>
    <t>MARZO</t>
  </si>
  <si>
    <t>n=</t>
  </si>
  <si>
    <t>ABRIL</t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</si>
  <si>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Xi*Yi=</t>
    </r>
  </si>
  <si>
    <t xml:space="preserve">MAYO </t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</si>
  <si>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Xi</t>
    </r>
    <r>
      <rPr>
        <rFont val="Aptos Narrow"/>
        <b/>
        <color theme="1"/>
        <sz val="14.0"/>
        <vertAlign val="superscript"/>
      </rPr>
      <t xml:space="preserve">2 </t>
    </r>
    <r>
      <rPr>
        <rFont val="Aptos Narrow"/>
        <b/>
        <color theme="1"/>
        <sz val="14.0"/>
      </rPr>
      <t xml:space="preserve">  =</t>
    </r>
  </si>
  <si>
    <t>b=</t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</si>
  <si>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Yi   -   m*∑Xi</t>
    </r>
  </si>
  <si>
    <t>6,510 - (-24.86*3,715)</t>
  </si>
  <si>
    <t>JUNIO</t>
  </si>
  <si>
    <t>∑</t>
  </si>
  <si>
    <t>JULIO</t>
  </si>
  <si>
    <t>¿?</t>
  </si>
  <si>
    <t>SE QUIERE ENCONTRAR EL VALOR (COSTO) DE PRODUCIR 725 UNIDADES, BAJO EL METODO DE MINIMOS CUADRADOS, POR TANTO SE NECESITA ENCONTRAR EL VALOR DE LA ECUACIÓN</t>
  </si>
  <si>
    <t>Y=mx+b</t>
  </si>
  <si>
    <t>DONDE "X" ES IGUAL A 725 UNIDADES</t>
  </si>
  <si>
    <t>CONOCIENDO LOS VALORES</t>
  </si>
  <si>
    <t>X=</t>
  </si>
  <si>
    <t>SUSTITUYENDO LOS VALORES EN LA FORMULA:</t>
  </si>
  <si>
    <t>Y=</t>
  </si>
  <si>
    <t>-24.86*725+16,477.47</t>
  </si>
  <si>
    <t>BAJO EL METODO DE CORRELACIÓN</t>
  </si>
  <si>
    <r>
      <rPr>
        <rFont val="Aptos Narrow"/>
        <b/>
        <color theme="1"/>
        <sz val="11.0"/>
      </rPr>
      <t>Xi</t>
    </r>
    <r>
      <rPr>
        <rFont val="Aptos Narrow"/>
        <b/>
        <color theme="1"/>
        <sz val="11.0"/>
        <vertAlign val="superscript"/>
      </rPr>
      <t>2</t>
    </r>
  </si>
  <si>
    <t>(Xi-X)</t>
  </si>
  <si>
    <t>(Xi-X)^2</t>
  </si>
  <si>
    <t>(Yi-Y)</t>
  </si>
  <si>
    <t>(Yi-Y)^2</t>
  </si>
  <si>
    <t>(Xi-X)*(Yi-Y)</t>
  </si>
  <si>
    <t>MEDIA X=</t>
  </si>
  <si>
    <t>MEDIA Y=</t>
  </si>
  <si>
    <t>VARIANZA X=</t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</si>
  <si>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(Xi-X)</t>
    </r>
    <r>
      <rPr>
        <rFont val="Aptos Narrow"/>
        <b/>
        <color theme="1"/>
        <sz val="14.0"/>
        <vertAlign val="superscript"/>
      </rPr>
      <t>2</t>
    </r>
  </si>
  <si>
    <t>VARIANZA Y=</t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</si>
  <si>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(Yi-Y)</t>
    </r>
    <r>
      <rPr>
        <rFont val="Aptos Narrow"/>
        <b/>
        <color theme="1"/>
        <sz val="14.0"/>
        <vertAlign val="superscript"/>
      </rPr>
      <t>2</t>
    </r>
  </si>
  <si>
    <t>DESV. ESTAND. X=</t>
  </si>
  <si>
    <t>DESV. ESTAND. Y=</t>
  </si>
  <si>
    <t>COVARIANZA X, Y=</t>
  </si>
  <si>
    <r>
      <rPr>
        <rFont val="Aptos Narrow"/>
        <b/>
        <color theme="1"/>
        <sz val="11.0"/>
      </rPr>
      <t>∑</t>
    </r>
    <r>
      <rPr>
        <rFont val="Aptos Narrow"/>
        <b/>
        <color theme="1"/>
        <sz val="14.0"/>
      </rPr>
      <t>(Xi-X)*(Yi-Y)</t>
    </r>
  </si>
  <si>
    <t>COEF. DE CORRELACIÓN r=</t>
  </si>
  <si>
    <t>Sxy&gt;&gt;&gt;&gt;&gt;&gt;COVARIANZA</t>
  </si>
  <si>
    <t>Sx*Sy&gt;&gt;&gt;&gt;DESV. ESTA. X,Y-</t>
  </si>
  <si>
    <t>105.61*137.69</t>
  </si>
  <si>
    <r>
      <rPr>
        <rFont val="Aptos Narrow"/>
        <b/>
        <color theme="1"/>
        <sz val="11.0"/>
      </rPr>
      <t>COEF. DE DETERMINACIÓN r</t>
    </r>
    <r>
      <rPr>
        <rFont val="Aptos Narrow"/>
        <b/>
        <color theme="1"/>
        <sz val="11.0"/>
        <vertAlign val="superscript"/>
      </rPr>
      <t>2</t>
    </r>
    <r>
      <rPr>
        <rFont val="Aptos Narrow"/>
        <b/>
        <color theme="1"/>
        <sz val="11.0"/>
      </rPr>
      <t>=</t>
    </r>
  </si>
  <si>
    <t>LA REGRESIÓN LINEAL SIMPLE&gt;&gt;&gt;&gt;&gt;&gt;&gt;&gt;</t>
  </si>
  <si>
    <t>EC. DE LA PENDIENTE Y= a+bx</t>
  </si>
  <si>
    <t>a=</t>
  </si>
  <si>
    <t>y-bx</t>
  </si>
  <si>
    <t>DONDE Y, X, SON MEDIAS</t>
  </si>
  <si>
    <t>SXY&gt;&gt;&gt;&gt;&gt;&gt;&gt;&gt;</t>
  </si>
  <si>
    <t>COVARIANZA X,Y&gt;&gt;&gt;&gt;&gt;&gt;&gt;COV(X.Y)</t>
  </si>
  <si>
    <r>
      <rPr>
        <rFont val="Aptos Narrow"/>
        <b/>
        <color theme="1"/>
        <sz val="11.0"/>
      </rPr>
      <t>S</t>
    </r>
    <r>
      <rPr>
        <rFont val="Aptos Narrow"/>
        <b/>
        <color theme="1"/>
        <sz val="11.0"/>
        <vertAlign val="superscript"/>
      </rPr>
      <t>2</t>
    </r>
    <r>
      <rPr>
        <rFont val="Aptos Narrow"/>
        <b/>
        <color theme="1"/>
        <sz val="11.0"/>
      </rPr>
      <t>X&gt;&gt;&gt;&gt;&gt;&gt;&gt;&gt;VARIANZA X</t>
    </r>
  </si>
  <si>
    <t>1,085-(1.15*619.17)</t>
  </si>
  <si>
    <t>AHORA  SE SUSTITUYEN LOS VALORES DE a y b EN LA FORMULA DE LA PENDIENTE</t>
  </si>
  <si>
    <t>370.5+1.15*X</t>
  </si>
  <si>
    <t>DONDE "X" ES CONOCIDA</t>
  </si>
  <si>
    <t>370.5+1.15*725</t>
  </si>
  <si>
    <t>370.5+833.75</t>
  </si>
  <si>
    <t>NOTA: DUDAS ENTRE LOS METODOS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</si>
</sst>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D/M/YYYY"/>
  </numFmts>
  <fonts count="3">
    <font>
      <sz val="11.0"/>
      <color theme="1"/>
      <name val="Aptos Narrow"/>
      <scheme val="minor"/>
    </font>
    <font>
      <b/>
      <sz val="11.0"/>
      <color theme="1"/>
      <name val="Aptos Narrow"/>
    </font>
    <font/>
  </fonts>
  <fills count="4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Border="1" applyFont="1"/>
    <xf borderId="0" fillId="0" fontId="1" numFmtId="164" xfId="0" applyFont="1" applyNumberFormat="1"/>
    <xf borderId="1" fillId="0" fontId="1" numFmtId="164" xfId="0" applyBorder="1" applyFont="1" applyNumberFormat="1"/>
    <xf borderId="2" fillId="0" fontId="1" numFmtId="0" xfId="0" applyAlignment="1" applyBorder="1" applyFont="1">
      <alignment horizontal="right"/>
    </xf>
    <xf borderId="3" fillId="2" fontId="1" numFmtId="0" xfId="0" applyAlignment="1" applyBorder="1" applyFill="1" applyFont="1">
      <alignment horizontal="right"/>
    </xf>
    <xf borderId="4" fillId="0" fontId="1" numFmtId="0" xfId="0" applyBorder="1" applyFont="1"/>
    <xf borderId="5" fillId="0" fontId="1" numFmtId="0" xfId="0" applyAlignment="1" applyBorder="1" applyFont="1">
      <alignment horizontal="center"/>
    </xf>
    <xf quotePrefix="1" borderId="0" fillId="0" fontId="1" numFmtId="0" xfId="0" applyFont="1"/>
    <xf borderId="2" fillId="0" fontId="1" numFmtId="164" xfId="0" applyBorder="1" applyFont="1" applyNumberFormat="1"/>
    <xf borderId="3" fillId="2" fontId="1" numFmtId="164" xfId="0" applyBorder="1" applyFont="1" applyNumberFormat="1"/>
    <xf borderId="0" fillId="0" fontId="1" numFmtId="0" xfId="0" applyAlignment="1" applyFont="1">
      <alignment horizontal="right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3" fontId="1" numFmtId="0" xfId="0" applyAlignment="1" applyBorder="1" applyFill="1" applyFont="1">
      <alignment horizontal="center"/>
    </xf>
    <xf borderId="3" fillId="3" fontId="1" numFmtId="164" xfId="0" applyBorder="1" applyFont="1" applyNumberFormat="1"/>
    <xf borderId="1" fillId="2" fontId="1" numFmtId="0" xfId="0" applyAlignment="1" applyBorder="1" applyFont="1">
      <alignment horizontal="center"/>
    </xf>
    <xf borderId="3" fillId="2" fontId="1" numFmtId="0" xfId="0" applyBorder="1" applyFont="1"/>
    <xf borderId="0" fillId="0" fontId="1" numFmtId="165" xfId="0" applyFont="1" applyNumberFormat="1"/>
    <xf borderId="3" fillId="2" fontId="1" numFmtId="164" xfId="0" applyAlignment="1" applyBorder="1" applyFont="1" applyNumberFormat="1">
      <alignment horizontal="center"/>
    </xf>
    <xf quotePrefix="1" borderId="0" fillId="0" fontId="1" numFmtId="0" xfId="0" applyAlignment="1" applyFont="1">
      <alignment horizontal="center"/>
    </xf>
    <xf borderId="2" fillId="0" fontId="2" numFmtId="0" xfId="0" applyBorder="1" applyFont="1"/>
    <xf borderId="6" fillId="0" fontId="1" numFmtId="0" xfId="0" applyAlignment="1" applyBorder="1" applyFont="1">
      <alignment horizontal="center"/>
    </xf>
    <xf borderId="6" fillId="0" fontId="2" numFmtId="0" xfId="0" applyBorder="1" applyFont="1"/>
    <xf borderId="3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3.0"/>
    <col customWidth="1" min="5" max="5" width="16.13"/>
    <col customWidth="1" min="6" max="6" width="10.63"/>
    <col customWidth="1" min="7" max="7" width="16.5"/>
    <col customWidth="1" min="8" max="26" width="10.63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 t="s">
        <v>4</v>
      </c>
      <c r="C7" s="1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2"/>
      <c r="B8" s="3" t="s">
        <v>6</v>
      </c>
      <c r="C8" s="3" t="s">
        <v>7</v>
      </c>
      <c r="D8" s="3" t="s">
        <v>8</v>
      </c>
      <c r="E8" s="3" t="s">
        <v>9</v>
      </c>
      <c r="F8" s="1"/>
      <c r="G8" s="1"/>
      <c r="H8" s="1"/>
      <c r="I8" s="1"/>
      <c r="J8" s="1"/>
      <c r="K8" s="1" t="s">
        <v>10</v>
      </c>
      <c r="L8" s="4" t="s">
        <v>11</v>
      </c>
      <c r="M8" s="1"/>
      <c r="N8" s="1"/>
      <c r="O8" s="1"/>
      <c r="P8" s="1"/>
      <c r="Q8" s="5">
        <f>+G12-(G9*G10)/G11</f>
        <v>77225</v>
      </c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2" t="s">
        <v>12</v>
      </c>
      <c r="B9" s="6">
        <v>625.0</v>
      </c>
      <c r="C9" s="6">
        <v>1100.0</v>
      </c>
      <c r="D9" s="6">
        <f t="shared" ref="D9:D14" si="1">+B9*C9</f>
        <v>687500</v>
      </c>
      <c r="E9" s="6">
        <f t="shared" ref="E9:E14" si="2">+B9*B9</f>
        <v>390625</v>
      </c>
      <c r="F9" s="7" t="s">
        <v>13</v>
      </c>
      <c r="G9" s="5">
        <f>+B15</f>
        <v>3715</v>
      </c>
      <c r="H9" s="1"/>
      <c r="I9" s="1"/>
      <c r="J9" s="8" t="s">
        <v>14</v>
      </c>
      <c r="K9" s="9"/>
      <c r="L9" s="10" t="s">
        <v>15</v>
      </c>
      <c r="M9" s="11" t="s">
        <v>16</v>
      </c>
      <c r="N9" s="4" t="s">
        <v>17</v>
      </c>
      <c r="O9" s="4"/>
      <c r="P9" s="11" t="s">
        <v>16</v>
      </c>
      <c r="Q9" s="12">
        <f>+G12-(G9*G10)/G11</f>
        <v>77225</v>
      </c>
      <c r="R9" s="11" t="s">
        <v>16</v>
      </c>
      <c r="S9" s="13">
        <f>+Q9/Q10</f>
        <v>1.153975469</v>
      </c>
      <c r="T9" s="1"/>
      <c r="U9" s="1"/>
      <c r="V9" s="1"/>
      <c r="W9" s="1"/>
      <c r="X9" s="1"/>
      <c r="Y9" s="1"/>
      <c r="Z9" s="1"/>
    </row>
    <row r="10" ht="14.25" customHeight="1">
      <c r="A10" s="2" t="s">
        <v>18</v>
      </c>
      <c r="B10" s="6">
        <v>700.0</v>
      </c>
      <c r="C10" s="6">
        <v>1200.0</v>
      </c>
      <c r="D10" s="6">
        <f t="shared" si="1"/>
        <v>840000</v>
      </c>
      <c r="E10" s="6">
        <f t="shared" si="2"/>
        <v>490000</v>
      </c>
      <c r="F10" s="14" t="s">
        <v>19</v>
      </c>
      <c r="G10" s="5">
        <f>+C15</f>
        <v>6510</v>
      </c>
      <c r="H10" s="1"/>
      <c r="I10" s="1"/>
      <c r="J10" s="14"/>
      <c r="K10" s="1" t="s">
        <v>20</v>
      </c>
      <c r="L10" s="15" t="s">
        <v>21</v>
      </c>
      <c r="M10" s="1"/>
      <c r="N10" s="1" t="s">
        <v>22</v>
      </c>
      <c r="O10" s="1"/>
      <c r="P10" s="1"/>
      <c r="Q10" s="5">
        <f>+G13-(G9)^2/G11</f>
        <v>66920.83333</v>
      </c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" t="s">
        <v>23</v>
      </c>
      <c r="B11" s="6">
        <v>680.0</v>
      </c>
      <c r="C11" s="6">
        <v>1250.0</v>
      </c>
      <c r="D11" s="6">
        <f t="shared" si="1"/>
        <v>850000</v>
      </c>
      <c r="E11" s="6">
        <f t="shared" si="2"/>
        <v>462400</v>
      </c>
      <c r="F11" s="14" t="s">
        <v>24</v>
      </c>
      <c r="G11" s="1">
        <v>6.0</v>
      </c>
      <c r="H11" s="1"/>
      <c r="I11" s="1"/>
      <c r="J11" s="1"/>
      <c r="K11" s="1"/>
      <c r="L11" s="16" t="s">
        <v>15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2" t="s">
        <v>25</v>
      </c>
      <c r="B12" s="6">
        <v>600.0</v>
      </c>
      <c r="C12" s="6">
        <v>950.0</v>
      </c>
      <c r="D12" s="6">
        <f t="shared" si="1"/>
        <v>570000</v>
      </c>
      <c r="E12" s="6">
        <f t="shared" si="2"/>
        <v>360000</v>
      </c>
      <c r="F12" s="14" t="s">
        <v>26</v>
      </c>
      <c r="G12" s="5">
        <f>+D15</f>
        <v>4108000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2" t="s">
        <v>27</v>
      </c>
      <c r="B13" s="6">
        <v>710.0</v>
      </c>
      <c r="C13" s="6">
        <v>1150.0</v>
      </c>
      <c r="D13" s="6">
        <f t="shared" si="1"/>
        <v>816500</v>
      </c>
      <c r="E13" s="6">
        <f t="shared" si="2"/>
        <v>504100</v>
      </c>
      <c r="F13" s="14" t="s">
        <v>28</v>
      </c>
      <c r="G13" s="5">
        <f>+E15</f>
        <v>2367125</v>
      </c>
      <c r="H13" s="1"/>
      <c r="I13" s="1"/>
      <c r="J13" s="8" t="s">
        <v>29</v>
      </c>
      <c r="K13" s="4" t="s">
        <v>30</v>
      </c>
      <c r="L13" s="11" t="s">
        <v>16</v>
      </c>
      <c r="M13" s="4" t="s">
        <v>31</v>
      </c>
      <c r="N13" s="4"/>
      <c r="O13" s="11" t="s">
        <v>16</v>
      </c>
      <c r="P13" s="12">
        <f>+G10-(S9*G9)</f>
        <v>2222.981134</v>
      </c>
      <c r="Q13" s="11" t="s">
        <v>16</v>
      </c>
      <c r="R13" s="13">
        <f>+P13/P14</f>
        <v>370.4968557</v>
      </c>
      <c r="S13" s="1"/>
      <c r="T13" s="1"/>
      <c r="U13" s="1"/>
      <c r="V13" s="1"/>
      <c r="W13" s="1"/>
      <c r="X13" s="1"/>
      <c r="Y13" s="1"/>
      <c r="Z13" s="1"/>
    </row>
    <row r="14" ht="14.25" customHeight="1">
      <c r="A14" s="2" t="s">
        <v>32</v>
      </c>
      <c r="B14" s="6">
        <v>400.0</v>
      </c>
      <c r="C14" s="6">
        <v>860.0</v>
      </c>
      <c r="D14" s="6">
        <f t="shared" si="1"/>
        <v>344000</v>
      </c>
      <c r="E14" s="6">
        <f t="shared" si="2"/>
        <v>160000</v>
      </c>
      <c r="F14" s="1"/>
      <c r="G14" s="1"/>
      <c r="H14" s="1"/>
      <c r="I14" s="1"/>
      <c r="J14" s="1"/>
      <c r="K14" s="16" t="s">
        <v>15</v>
      </c>
      <c r="L14" s="1"/>
      <c r="M14" s="1">
        <v>6.0</v>
      </c>
      <c r="N14" s="1"/>
      <c r="O14" s="1"/>
      <c r="P14" s="16">
        <f>+M14</f>
        <v>6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7" t="s">
        <v>33</v>
      </c>
      <c r="B15" s="18">
        <f t="shared" ref="B15:E15" si="3">SUM(B9:B14)</f>
        <v>3715</v>
      </c>
      <c r="C15" s="18">
        <f t="shared" si="3"/>
        <v>6510</v>
      </c>
      <c r="D15" s="18">
        <f t="shared" si="3"/>
        <v>4108000</v>
      </c>
      <c r="E15" s="18">
        <f t="shared" si="3"/>
        <v>2367125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4" t="s">
        <v>24</v>
      </c>
      <c r="B16" s="1">
        <v>6.0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2" t="s">
        <v>34</v>
      </c>
      <c r="B17" s="2">
        <v>725.0</v>
      </c>
      <c r="C17" s="19" t="s">
        <v>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1">
        <v>45797.0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36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0" t="s">
        <v>37</v>
      </c>
      <c r="C26" s="1" t="s">
        <v>38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 t="s">
        <v>39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4" t="s">
        <v>14</v>
      </c>
      <c r="C30" s="13">
        <f>+S9</f>
        <v>1.153975469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4" t="s">
        <v>29</v>
      </c>
      <c r="C31" s="1"/>
      <c r="D31" s="13">
        <f>+R13</f>
        <v>370.4968557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4" t="s">
        <v>40</v>
      </c>
      <c r="C32" s="1"/>
      <c r="D32" s="1"/>
      <c r="E32" s="20">
        <v>725.0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 t="s">
        <v>41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4" t="s">
        <v>42</v>
      </c>
      <c r="C37" s="11" t="s">
        <v>43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4" t="s">
        <v>42</v>
      </c>
      <c r="C38" s="22">
        <f>+S9*E32+D31</f>
        <v>1207.12907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0" t="s">
        <v>44</v>
      </c>
      <c r="B43" s="20"/>
      <c r="C43" s="2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 t="s">
        <v>3</v>
      </c>
      <c r="B44" s="1" t="s">
        <v>4</v>
      </c>
      <c r="C44" s="1" t="s">
        <v>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"/>
      <c r="B45" s="3" t="s">
        <v>6</v>
      </c>
      <c r="C45" s="3" t="s">
        <v>7</v>
      </c>
      <c r="D45" s="3" t="s">
        <v>8</v>
      </c>
      <c r="E45" s="3" t="s">
        <v>45</v>
      </c>
      <c r="F45" s="3" t="s">
        <v>46</v>
      </c>
      <c r="G45" s="3" t="s">
        <v>47</v>
      </c>
      <c r="H45" s="3" t="s">
        <v>48</v>
      </c>
      <c r="I45" s="3" t="s">
        <v>49</v>
      </c>
      <c r="J45" s="2" t="s">
        <v>50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" t="s">
        <v>12</v>
      </c>
      <c r="B46" s="6">
        <v>625.0</v>
      </c>
      <c r="C46" s="6">
        <v>1100.0</v>
      </c>
      <c r="D46" s="6">
        <f t="shared" ref="D46:D51" si="4">+B46*C46</f>
        <v>687500</v>
      </c>
      <c r="E46" s="6">
        <f t="shared" ref="E46:E51" si="5">+B46*B46</f>
        <v>390625</v>
      </c>
      <c r="F46" s="6">
        <f>+B46-B58</f>
        <v>5.833333333</v>
      </c>
      <c r="G46" s="6">
        <f t="shared" ref="G46:G51" si="6">+F46*F46</f>
        <v>34.02777778</v>
      </c>
      <c r="H46" s="6">
        <f>+C46-C59</f>
        <v>15</v>
      </c>
      <c r="I46" s="6">
        <f t="shared" ref="I46:I51" si="7">+H46*H46</f>
        <v>225</v>
      </c>
      <c r="J46" s="6">
        <f t="shared" ref="J46:J51" si="8">+F46*H46</f>
        <v>87.5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" t="s">
        <v>18</v>
      </c>
      <c r="B47" s="6">
        <v>700.0</v>
      </c>
      <c r="C47" s="6">
        <v>1200.0</v>
      </c>
      <c r="D47" s="6">
        <f t="shared" si="4"/>
        <v>840000</v>
      </c>
      <c r="E47" s="6">
        <f t="shared" si="5"/>
        <v>490000</v>
      </c>
      <c r="F47" s="6">
        <f>+B47-B58</f>
        <v>80.83333333</v>
      </c>
      <c r="G47" s="6">
        <f t="shared" si="6"/>
        <v>6534.027778</v>
      </c>
      <c r="H47" s="6">
        <f>+C47-C59</f>
        <v>115</v>
      </c>
      <c r="I47" s="6">
        <f t="shared" si="7"/>
        <v>13225</v>
      </c>
      <c r="J47" s="6">
        <f t="shared" si="8"/>
        <v>9295.833333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" t="s">
        <v>23</v>
      </c>
      <c r="B48" s="6">
        <v>680.0</v>
      </c>
      <c r="C48" s="6">
        <v>1250.0</v>
      </c>
      <c r="D48" s="6">
        <f t="shared" si="4"/>
        <v>850000</v>
      </c>
      <c r="E48" s="6">
        <f t="shared" si="5"/>
        <v>462400</v>
      </c>
      <c r="F48" s="6">
        <f>+B48-B58</f>
        <v>60.83333333</v>
      </c>
      <c r="G48" s="6">
        <f t="shared" si="6"/>
        <v>3700.694444</v>
      </c>
      <c r="H48" s="6">
        <f>+C48-C59</f>
        <v>165</v>
      </c>
      <c r="I48" s="6">
        <f t="shared" si="7"/>
        <v>27225</v>
      </c>
      <c r="J48" s="6">
        <f t="shared" si="8"/>
        <v>10037.5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" t="s">
        <v>25</v>
      </c>
      <c r="B49" s="6">
        <v>600.0</v>
      </c>
      <c r="C49" s="6">
        <v>950.0</v>
      </c>
      <c r="D49" s="6">
        <f t="shared" si="4"/>
        <v>570000</v>
      </c>
      <c r="E49" s="6">
        <f t="shared" si="5"/>
        <v>360000</v>
      </c>
      <c r="F49" s="6">
        <f>+B49-B58</f>
        <v>-19.16666667</v>
      </c>
      <c r="G49" s="6">
        <f t="shared" si="6"/>
        <v>367.3611111</v>
      </c>
      <c r="H49" s="6">
        <f>+C49-C59</f>
        <v>-135</v>
      </c>
      <c r="I49" s="6">
        <f t="shared" si="7"/>
        <v>18225</v>
      </c>
      <c r="J49" s="6">
        <f t="shared" si="8"/>
        <v>2587.5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" t="s">
        <v>27</v>
      </c>
      <c r="B50" s="6">
        <v>710.0</v>
      </c>
      <c r="C50" s="6">
        <v>1150.0</v>
      </c>
      <c r="D50" s="6">
        <f t="shared" si="4"/>
        <v>816500</v>
      </c>
      <c r="E50" s="6">
        <f t="shared" si="5"/>
        <v>504100</v>
      </c>
      <c r="F50" s="6">
        <f>+B50-B58</f>
        <v>90.83333333</v>
      </c>
      <c r="G50" s="6">
        <f t="shared" si="6"/>
        <v>8250.694444</v>
      </c>
      <c r="H50" s="6">
        <f>+C50-C59</f>
        <v>65</v>
      </c>
      <c r="I50" s="6">
        <f t="shared" si="7"/>
        <v>4225</v>
      </c>
      <c r="J50" s="6">
        <f t="shared" si="8"/>
        <v>5904.166667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" t="s">
        <v>32</v>
      </c>
      <c r="B51" s="6">
        <v>400.0</v>
      </c>
      <c r="C51" s="6">
        <v>860.0</v>
      </c>
      <c r="D51" s="6">
        <f t="shared" si="4"/>
        <v>344000</v>
      </c>
      <c r="E51" s="6">
        <f t="shared" si="5"/>
        <v>160000</v>
      </c>
      <c r="F51" s="6">
        <f>+B51-B58</f>
        <v>-219.1666667</v>
      </c>
      <c r="G51" s="6">
        <f t="shared" si="6"/>
        <v>48034.02778</v>
      </c>
      <c r="H51" s="6">
        <f>+C51-C59</f>
        <v>-225</v>
      </c>
      <c r="I51" s="6">
        <f t="shared" si="7"/>
        <v>50625</v>
      </c>
      <c r="J51" s="6">
        <f t="shared" si="8"/>
        <v>49312.5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7" t="s">
        <v>33</v>
      </c>
      <c r="B52" s="18">
        <f t="shared" ref="B52:J52" si="9">SUM(B46:B51)</f>
        <v>3715</v>
      </c>
      <c r="C52" s="18">
        <f t="shared" si="9"/>
        <v>6510</v>
      </c>
      <c r="D52" s="18">
        <f t="shared" si="9"/>
        <v>4108000</v>
      </c>
      <c r="E52" s="18">
        <f t="shared" si="9"/>
        <v>2367125</v>
      </c>
      <c r="F52" s="18">
        <f t="shared" si="9"/>
        <v>0</v>
      </c>
      <c r="G52" s="18">
        <f t="shared" si="9"/>
        <v>66920.83333</v>
      </c>
      <c r="H52" s="18">
        <f t="shared" si="9"/>
        <v>0</v>
      </c>
      <c r="I52" s="18">
        <f t="shared" si="9"/>
        <v>113750</v>
      </c>
      <c r="J52" s="18">
        <f t="shared" si="9"/>
        <v>77225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4" t="s">
        <v>24</v>
      </c>
      <c r="B53" s="1">
        <v>6.0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2" t="s">
        <v>34</v>
      </c>
      <c r="B54" s="2">
        <v>725.0</v>
      </c>
      <c r="C54" s="19" t="s">
        <v>35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 t="s">
        <v>51</v>
      </c>
      <c r="B58" s="18">
        <f>+AVERAGE(B46:B51)</f>
        <v>619.1666667</v>
      </c>
      <c r="C58" s="5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 t="s">
        <v>52</v>
      </c>
      <c r="C59" s="18">
        <f>+AVERAGE(C46:C51)</f>
        <v>1085</v>
      </c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4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 t="s">
        <v>53</v>
      </c>
      <c r="D62" s="4" t="s">
        <v>54</v>
      </c>
      <c r="E62" s="23" t="s">
        <v>16</v>
      </c>
      <c r="F62" s="12">
        <f>+G52</f>
        <v>66920.83333</v>
      </c>
      <c r="G62" s="23" t="s">
        <v>16</v>
      </c>
      <c r="H62" s="18">
        <f>+F62/F63</f>
        <v>11153.47222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6" t="s">
        <v>15</v>
      </c>
      <c r="E63" s="1"/>
      <c r="F63" s="1">
        <f>+B53</f>
        <v>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 t="s">
        <v>55</v>
      </c>
      <c r="E65" s="4" t="s">
        <v>56</v>
      </c>
      <c r="F65" s="23" t="s">
        <v>16</v>
      </c>
      <c r="G65" s="12">
        <f>+I52</f>
        <v>113750</v>
      </c>
      <c r="H65" s="23" t="s">
        <v>16</v>
      </c>
      <c r="I65" s="18">
        <f>+G65/G66</f>
        <v>18958.33333</v>
      </c>
      <c r="J65" s="1"/>
      <c r="K65" s="1"/>
      <c r="L65" s="1"/>
      <c r="M65" s="1"/>
      <c r="N65" s="1"/>
      <c r="O65" s="1"/>
      <c r="P65" s="1"/>
      <c r="Q65" s="14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6" t="s">
        <v>15</v>
      </c>
      <c r="F66" s="1"/>
      <c r="G66" s="1">
        <f>+F63</f>
        <v>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4"/>
      <c r="R67" s="5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 t="s">
        <v>57</v>
      </c>
      <c r="F68" s="1"/>
      <c r="G68" s="1"/>
      <c r="H68" s="18">
        <f>+SQRT(H62)</f>
        <v>105.6100006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 t="s">
        <v>58</v>
      </c>
      <c r="G71" s="1"/>
      <c r="H71" s="1"/>
      <c r="I71" s="18">
        <f>+SQRT(I65)</f>
        <v>137.6892637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 t="s">
        <v>59</v>
      </c>
      <c r="H74" s="1"/>
      <c r="I74" s="15" t="s">
        <v>60</v>
      </c>
      <c r="J74" s="24"/>
      <c r="K74" s="23" t="s">
        <v>16</v>
      </c>
      <c r="L74" s="12">
        <f>+J52</f>
        <v>77225</v>
      </c>
      <c r="M74" s="23" t="s">
        <v>16</v>
      </c>
      <c r="N74" s="18">
        <f>+L74/L75</f>
        <v>12870.83333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25" t="s">
        <v>15</v>
      </c>
      <c r="J75" s="26"/>
      <c r="K75" s="1"/>
      <c r="L75" s="1">
        <f>+G66</f>
        <v>6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 t="s">
        <v>61</v>
      </c>
      <c r="I78" s="1"/>
      <c r="J78" s="4" t="s">
        <v>62</v>
      </c>
      <c r="K78" s="1"/>
      <c r="L78" s="16" t="str">
        <f>+K74</f>
        <v>=</v>
      </c>
      <c r="M78" s="12">
        <f>+N74</f>
        <v>12870.83333</v>
      </c>
      <c r="N78" s="23" t="s">
        <v>16</v>
      </c>
      <c r="O78" s="12">
        <f>+M78</f>
        <v>12870.83333</v>
      </c>
      <c r="P78" s="23" t="s">
        <v>16</v>
      </c>
      <c r="Q78" s="18">
        <f>+O78/O79</f>
        <v>0.8851187568</v>
      </c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 t="s">
        <v>63</v>
      </c>
      <c r="K79" s="1"/>
      <c r="L79" s="1"/>
      <c r="M79" s="1" t="s">
        <v>64</v>
      </c>
      <c r="N79" s="1"/>
      <c r="O79" s="5">
        <f>+H68*I71</f>
        <v>14541.36322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 t="s">
        <v>65</v>
      </c>
      <c r="J82" s="1"/>
      <c r="K82" s="1"/>
      <c r="L82" s="18">
        <f>+Q78*Q78</f>
        <v>0.7834352137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 t="s">
        <v>66</v>
      </c>
      <c r="I85" s="1"/>
      <c r="J85" s="1"/>
      <c r="K85" s="1" t="s">
        <v>67</v>
      </c>
      <c r="L85" s="2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4" t="s">
        <v>68</v>
      </c>
      <c r="M88" s="1" t="s">
        <v>69</v>
      </c>
      <c r="N88" s="1" t="s">
        <v>70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4" t="s">
        <v>29</v>
      </c>
      <c r="M91" s="4" t="s">
        <v>71</v>
      </c>
      <c r="N91" s="1" t="s">
        <v>72</v>
      </c>
      <c r="O91" s="1"/>
      <c r="P91" s="1"/>
      <c r="Q91" s="14" t="s">
        <v>29</v>
      </c>
      <c r="R91" s="12">
        <f>+N74</f>
        <v>12870.83333</v>
      </c>
      <c r="S91" s="23" t="s">
        <v>16</v>
      </c>
      <c r="T91" s="18">
        <f>+R91/R92</f>
        <v>1.153975469</v>
      </c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73</v>
      </c>
      <c r="N92" s="1"/>
      <c r="O92" s="1"/>
      <c r="P92" s="1"/>
      <c r="Q92" s="1"/>
      <c r="R92" s="5">
        <f>+H62</f>
        <v>11153.47222</v>
      </c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 t="s">
        <v>51</v>
      </c>
      <c r="I93" s="18">
        <f>+B58</f>
        <v>619.1666667</v>
      </c>
      <c r="J93" s="1"/>
      <c r="K93" s="1"/>
      <c r="L93" s="1"/>
      <c r="M93" s="1"/>
      <c r="N93" s="1"/>
      <c r="O93" s="1"/>
      <c r="P93" s="1"/>
      <c r="Q93" s="1"/>
      <c r="R93" s="5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 t="s">
        <v>52</v>
      </c>
      <c r="J94" s="18">
        <f>+C59</f>
        <v>1085</v>
      </c>
      <c r="K94" s="1"/>
      <c r="L94" s="14" t="s">
        <v>68</v>
      </c>
      <c r="M94" s="1" t="s">
        <v>74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4" t="s">
        <v>68</v>
      </c>
      <c r="M95" s="18">
        <f>+J94-(T91*I93)</f>
        <v>370.4968557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 t="s">
        <v>75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4" t="s">
        <v>42</v>
      </c>
      <c r="L99" s="1" t="s">
        <v>76</v>
      </c>
      <c r="M99" s="1"/>
      <c r="N99" s="1" t="s">
        <v>77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 t="s">
        <v>40</v>
      </c>
      <c r="L101" s="16">
        <v>725.0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 t="s">
        <v>42</v>
      </c>
      <c r="L103" s="1" t="s">
        <v>78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 t="s">
        <v>42</v>
      </c>
      <c r="L104" s="1" t="s">
        <v>79</v>
      </c>
      <c r="M104" s="1"/>
      <c r="N104" s="1"/>
      <c r="O104" s="5">
        <f>1.15*725</f>
        <v>833.75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 t="s">
        <v>42</v>
      </c>
      <c r="L105" s="18">
        <f>+M95+T91*L101</f>
        <v>1207.12907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 t="s">
        <v>80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I74:J74"/>
    <mergeCell ref="I75:J75"/>
  </mergeCells>
  <printOptions/>
  <pageMargins bottom="0.75" footer="0.0" header="0.0" left="0.7" right="0.7" top="0.75"/>
  <pageSetup orientation="landscape"/>
  <drawing r:id="rId1"/>
</worksheet>
</file>